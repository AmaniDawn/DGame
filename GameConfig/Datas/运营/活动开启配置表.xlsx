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系统开放配置表" sheetId="3" r:id="rId1"/>
    <sheet name="备注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QZJ</author>
  </authors>
  <commentList>
    <comment ref="F1" authorId="0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0或者不填为不开启
1、固定开启，不用填写时间戳
2、时间段开启，填写2个参数，开启时间戳和结束时间戳
3、开服时间（偏移时间）
4、根据合服时间开放（偏移时间）
5、每天固定时间
6：每周固定时间，参数1填周几（0表示周日）开活动，参数2，3填几点到几点开启
7、每周固定时间段
8、按创角时间开启
9：按创角时间开启，精确到秒
</t>
        </r>
      </text>
    </comment>
    <comment ref="H1" authorId="0">
      <text>
        <r>
          <rPr>
            <b/>
            <sz val="9"/>
            <rFont val="宋体"/>
            <charset val="134"/>
          </rPr>
          <t>ps:
情况1：
参数1：
1=等级
2=段位
3=充值金额
情况2：
参数1：第x天开启
参数2：第x天结束</t>
        </r>
      </text>
    </comment>
    <comment ref="K1" authorId="0">
      <text>
        <r>
          <rPr>
            <b/>
            <sz val="9"/>
            <rFont val="宋体"/>
            <charset val="134"/>
          </rPr>
          <t>ps:
时间戳配置了代表玩家在此段时间内创角，活动才会生效</t>
        </r>
      </text>
    </comment>
  </commentList>
</comments>
</file>

<file path=xl/sharedStrings.xml><?xml version="1.0" encoding="utf-8"?>
<sst xmlns="http://schemas.openxmlformats.org/spreadsheetml/2006/main" count="58" uniqueCount="50">
  <si>
    <t>##var</t>
  </si>
  <si>
    <t>ActivityID</t>
  </si>
  <si>
    <t>ActivityNameID</t>
  </si>
  <si>
    <t>##活动名称</t>
  </si>
  <si>
    <t>ActivityType</t>
  </si>
  <si>
    <t>OpenType</t>
  </si>
  <si>
    <t>##开启备注</t>
  </si>
  <si>
    <t>OpenParamList</t>
  </si>
  <si>
    <t>OpenLevel</t>
  </si>
  <si>
    <t>CreateRoleDays</t>
  </si>
  <si>
    <t>CreateTimeStart</t>
  </si>
  <si>
    <t>CreateTimeEnd</t>
  </si>
  <si>
    <t>SortID</t>
  </si>
  <si>
    <t>##时间备注1</t>
  </si>
  <si>
    <t>##时间备注2</t>
  </si>
  <si>
    <t>##创角活动开启时间</t>
  </si>
  <si>
    <t>##创角活动结束时间</t>
  </si>
  <si>
    <t>##type</t>
  </si>
  <si>
    <t>int</t>
  </si>
  <si>
    <t>ActivityOpenType</t>
  </si>
  <si>
    <t>list,long</t>
  </si>
  <si>
    <t>long</t>
  </si>
  <si>
    <t>##group</t>
  </si>
  <si>
    <t>##</t>
  </si>
  <si>
    <t>活动ID</t>
  </si>
  <si>
    <t>活动名称ID</t>
  </si>
  <si>
    <t>活动名称</t>
  </si>
  <si>
    <t>活动类型</t>
  </si>
  <si>
    <t>开启类型</t>
  </si>
  <si>
    <t>开启备注</t>
  </si>
  <si>
    <t>活动开启参数</t>
  </si>
  <si>
    <t>开启等级</t>
  </si>
  <si>
    <t>创角天数限制</t>
  </si>
  <si>
    <t>创角活动开启时间</t>
  </si>
  <si>
    <t>创角活动结束时间</t>
  </si>
  <si>
    <t>排序ID</t>
  </si>
  <si>
    <t>时间备注1</t>
  </si>
  <si>
    <t>时间备注2</t>
  </si>
  <si>
    <t>首充</t>
  </si>
  <si>
    <t>不开启</t>
  </si>
  <si>
    <t>时间计算公式：=IF(G32=1,IF(R32&gt;0,(R32+8*3600)/86400+70*365+19,""),"")</t>
  </si>
  <si>
    <t>固定开启</t>
  </si>
  <si>
    <t>时间戳</t>
  </si>
  <si>
    <t>开服时间</t>
  </si>
  <si>
    <t>合服时间</t>
  </si>
  <si>
    <t>每天时间</t>
  </si>
  <si>
    <t>每周时间</t>
  </si>
  <si>
    <t>每周固定时间段</t>
  </si>
  <si>
    <t xml:space="preserve">创角天数 </t>
  </si>
  <si>
    <t>创角时间 （参数1创角后x秒开启 参数2创角后x秒结束）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</si>
</sst>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4" borderId="1" xfId="22" applyBorder="1" applyAlignment="1">
      <alignment horizontal="center" vertical="center"/>
    </xf>
    <xf numFmtId="0" fontId="3" fillId="4" borderId="1" xfId="22" applyFont="1" applyBorder="1" applyAlignment="1">
      <alignment horizontal="center" vertical="center"/>
    </xf>
    <xf numFmtId="0" fontId="3" fillId="5" borderId="1" xfId="22" applyFont="1" applyFill="1" applyBorder="1" applyAlignment="1">
      <alignment horizontal="center" vertical="center"/>
    </xf>
    <xf numFmtId="0" fontId="3" fillId="3" borderId="1" xfId="22" applyFont="1" applyFill="1" applyBorder="1" applyAlignment="1">
      <alignment horizontal="center" vertical="center"/>
    </xf>
    <xf numFmtId="0" fontId="3" fillId="3" borderId="2" xfId="22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6" borderId="1" xfId="23" applyBorder="1" applyAlignment="1">
      <alignment horizontal="center" vertical="center"/>
    </xf>
    <xf numFmtId="0" fontId="4" fillId="6" borderId="1" xfId="23" applyFont="1" applyBorder="1" applyAlignment="1">
      <alignment horizontal="center" vertical="center"/>
    </xf>
    <xf numFmtId="0" fontId="4" fillId="5" borderId="1" xfId="23" applyFont="1" applyFill="1" applyBorder="1" applyAlignment="1">
      <alignment horizontal="center" vertical="center"/>
    </xf>
    <xf numFmtId="0" fontId="4" fillId="3" borderId="1" xfId="23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5" borderId="1" xfId="23" applyFill="1" applyBorder="1" applyAlignment="1">
      <alignment horizontal="center" vertical="center"/>
    </xf>
    <xf numFmtId="0" fontId="4" fillId="3" borderId="1" xfId="23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F15" sqref="F15"/>
    </sheetView>
  </sheetViews>
  <sheetFormatPr defaultColWidth="9" defaultRowHeight="14.25"/>
  <cols>
    <col min="2" max="2" width="12.25" customWidth="1"/>
    <col min="3" max="3" width="23.5833333333333" customWidth="1"/>
    <col min="4" max="4" width="23.5833333333333" style="6" customWidth="1"/>
    <col min="5" max="5" width="23.5833333333333" customWidth="1"/>
    <col min="6" max="6" width="24.8333333333333" customWidth="1"/>
    <col min="7" max="7" width="22.6666666666667" style="7" customWidth="1"/>
    <col min="8" max="8" width="21.1666666666667" customWidth="1"/>
    <col min="9" max="9" width="18.1666666666667" customWidth="1"/>
    <col min="10" max="10" width="19.9166666666667" customWidth="1"/>
    <col min="11" max="11" width="17.9166666666667" customWidth="1"/>
    <col min="12" max="12" width="18.3333333333333" customWidth="1"/>
    <col min="13" max="13" width="17" customWidth="1"/>
    <col min="14" max="14" width="21.3333333333333" style="7" customWidth="1"/>
    <col min="15" max="15" width="24.5" style="7" customWidth="1"/>
    <col min="16" max="16" width="21.3333333333333" style="7" customWidth="1"/>
    <col min="17" max="17" width="24.5" style="7" customWidth="1"/>
  </cols>
  <sheetData>
    <row r="1" spans="1:17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1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2" t="s">
        <v>13</v>
      </c>
      <c r="O1" s="12" t="s">
        <v>14</v>
      </c>
      <c r="P1" s="12" t="s">
        <v>15</v>
      </c>
      <c r="Q1" s="13" t="s">
        <v>16</v>
      </c>
    </row>
    <row r="2" spans="1:17">
      <c r="A2" s="14" t="s">
        <v>17</v>
      </c>
      <c r="B2" s="15" t="s">
        <v>18</v>
      </c>
      <c r="C2" s="15" t="s">
        <v>18</v>
      </c>
      <c r="D2" s="16"/>
      <c r="E2" s="15" t="s">
        <v>18</v>
      </c>
      <c r="F2" s="15" t="s">
        <v>19</v>
      </c>
      <c r="G2" s="17"/>
      <c r="H2" s="15" t="s">
        <v>20</v>
      </c>
      <c r="I2" s="15" t="s">
        <v>18</v>
      </c>
      <c r="J2" s="15" t="s">
        <v>18</v>
      </c>
      <c r="K2" s="15" t="s">
        <v>21</v>
      </c>
      <c r="L2" s="15" t="s">
        <v>21</v>
      </c>
      <c r="M2" s="15" t="s">
        <v>18</v>
      </c>
      <c r="N2" s="18"/>
      <c r="O2" s="18"/>
      <c r="P2" s="18"/>
      <c r="Q2" s="18"/>
    </row>
    <row r="3" spans="1:17">
      <c r="A3" s="14" t="s">
        <v>22</v>
      </c>
      <c r="B3" s="14"/>
      <c r="C3" s="14"/>
      <c r="D3" s="19"/>
      <c r="E3" s="14"/>
      <c r="F3" s="14"/>
      <c r="G3" s="20"/>
      <c r="H3" s="14"/>
      <c r="I3" s="14"/>
      <c r="J3" s="14"/>
      <c r="K3" s="14"/>
      <c r="L3" s="14"/>
      <c r="M3" s="14"/>
      <c r="N3" s="18"/>
      <c r="O3" s="18"/>
      <c r="P3" s="18"/>
      <c r="Q3" s="18"/>
    </row>
    <row r="4" spans="1:17">
      <c r="A4" s="8" t="s">
        <v>23</v>
      </c>
      <c r="B4" s="8" t="s">
        <v>24</v>
      </c>
      <c r="C4" s="9" t="s">
        <v>25</v>
      </c>
      <c r="D4" s="10" t="s">
        <v>26</v>
      </c>
      <c r="E4" s="9" t="s">
        <v>27</v>
      </c>
      <c r="F4" s="9" t="s">
        <v>28</v>
      </c>
      <c r="G4" s="11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  <c r="M4" s="9" t="s">
        <v>35</v>
      </c>
      <c r="N4" s="13" t="s">
        <v>36</v>
      </c>
      <c r="O4" s="13" t="s">
        <v>37</v>
      </c>
      <c r="P4" s="18" t="s">
        <v>33</v>
      </c>
      <c r="Q4" s="13" t="s">
        <v>34</v>
      </c>
    </row>
    <row r="5" s="5" customFormat="1" spans="1:17">
      <c r="B5" s="5">
        <v>1001</v>
      </c>
      <c r="C5" s="21"/>
      <c r="D5" s="22" t="s">
        <v>38</v>
      </c>
      <c r="F5" s="5">
        <v>1</v>
      </c>
      <c r="G5" s="23" t="str">
        <f>INDEX(备注表!B:B,MATCH(F5,备注表!A:A,0))</f>
        <v>固定开启</v>
      </c>
      <c r="H5" s="5">
        <v>1</v>
      </c>
      <c r="N5" s="23"/>
      <c r="O5" s="23"/>
      <c r="P5" s="23"/>
      <c r="Q5" s="23"/>
    </row>
    <row r="6" s="5" customFormat="1" spans="1:17">
      <c r="D6" s="24"/>
      <c r="G6" s="23"/>
      <c r="N6" s="23"/>
      <c r="O6" s="23"/>
      <c r="P6" s="23"/>
      <c r="Q6" s="23"/>
    </row>
    <row r="7" s="5" customFormat="1" spans="1:17">
      <c r="D7" s="24"/>
      <c r="G7" s="23"/>
      <c r="N7" s="23"/>
      <c r="O7" s="23"/>
      <c r="P7" s="23"/>
      <c r="Q7" s="23"/>
    </row>
    <row r="8" s="5" customFormat="1" spans="1:17">
      <c r="D8" s="24"/>
      <c r="G8" s="23"/>
      <c r="N8" s="23"/>
      <c r="O8" s="23"/>
      <c r="P8" s="23"/>
      <c r="Q8" s="23"/>
    </row>
    <row r="9" s="5" customFormat="1" spans="1:17">
      <c r="D9" s="24"/>
      <c r="G9" s="23"/>
      <c r="N9" s="23"/>
      <c r="O9" s="23"/>
      <c r="P9" s="23"/>
      <c r="Q9" s="23"/>
    </row>
    <row r="10" s="5" customFormat="1" spans="1:17">
      <c r="D10" s="24"/>
      <c r="G10" s="23"/>
      <c r="N10" s="23"/>
      <c r="O10" s="23"/>
      <c r="P10" s="23"/>
      <c r="Q10" s="23"/>
    </row>
  </sheetData>
  <conditionalFormatting sqref="C6:E6">
    <cfRule type="duplicateValues" dxfId="0" priority="4"/>
  </conditionalFormatting>
  <conditionalFormatting sqref="F8">
    <cfRule type="duplicateValues" dxfId="0" priority="5"/>
  </conditionalFormatting>
  <conditionalFormatting sqref="E7:E10">
    <cfRule type="duplicateValues" dxfId="0" priority="6"/>
  </conditionalFormatting>
  <conditionalFormatting sqref="C7:D10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10"/>
  <sheetViews>
    <sheetView workbookViewId="0">
      <selection activeCell="E11" sqref="E11"/>
    </sheetView>
  </sheetViews>
  <sheetFormatPr defaultColWidth="9" defaultRowHeight="14.25" outlineLevelCol="4"/>
  <cols>
    <col min="2" max="2" width="52.5833333333333" customWidth="1"/>
    <col min="5" max="5" width="62" customWidth="1"/>
  </cols>
  <sheetData>
    <row r="1" spans="1:5">
      <c r="A1" s="1">
        <v>0</v>
      </c>
      <c r="B1" s="1" t="s">
        <v>39</v>
      </c>
      <c r="E1" s="2" t="s">
        <v>40</v>
      </c>
    </row>
    <row r="2" spans="1:5">
      <c r="A2" s="1">
        <v>1</v>
      </c>
      <c r="B2" s="1" t="s">
        <v>41</v>
      </c>
    </row>
    <row r="3" spans="1:5">
      <c r="A3" s="1">
        <v>2</v>
      </c>
      <c r="B3" s="1" t="s">
        <v>42</v>
      </c>
    </row>
    <row r="4" spans="1:5">
      <c r="A4" s="1">
        <v>3</v>
      </c>
      <c r="B4" s="1" t="s">
        <v>43</v>
      </c>
    </row>
    <row r="5" spans="1:5">
      <c r="A5" s="1">
        <v>4</v>
      </c>
      <c r="B5" s="1" t="s">
        <v>44</v>
      </c>
    </row>
    <row r="6" spans="1:5">
      <c r="A6" s="1">
        <v>5</v>
      </c>
      <c r="B6" s="1" t="s">
        <v>45</v>
      </c>
    </row>
    <row r="7" spans="1:5">
      <c r="A7" s="1">
        <v>6</v>
      </c>
      <c r="B7" s="1" t="s">
        <v>46</v>
      </c>
    </row>
    <row r="8" spans="1:5">
      <c r="A8" s="1">
        <v>7</v>
      </c>
      <c r="B8" s="3" t="s">
        <v>47</v>
      </c>
    </row>
    <row r="9" spans="1:5">
      <c r="A9" s="1">
        <v>8</v>
      </c>
      <c r="B9" s="1" t="s">
        <v>48</v>
      </c>
    </row>
    <row r="10" ht="16.5" spans="1:5">
      <c r="A10" s="1">
        <v>9</v>
      </c>
      <c r="B10" s="4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系统开放配置表</vt:lpstr>
      <vt:lpstr>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2026-03-17T07:09:33Z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