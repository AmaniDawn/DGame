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关卡\"/>
    </mc:Choice>
  </mc:AlternateContent>
  <xr:revisionPtr revIDLastSave="0" documentId="13_ncr:1_{BEDDB00E-21E0-434E-985D-CF78BCC7435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地图配置表" sheetId="4" r:id="rId1"/>
    <sheet name="路径点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2" l="1" a="1"/>
  <c r="AA14" i="2"/>
  <c r="C14" i="2"/>
  <c r="AA13" i="2" a="1"/>
  <c r="AA13" i="2"/>
  <c r="C13" i="2"/>
  <c r="AA12" i="2" a="1"/>
  <c r="AA12" i="2"/>
  <c r="C12" i="2"/>
  <c r="AA11" i="2" a="1"/>
  <c r="AA11" i="2"/>
  <c r="C11" i="2"/>
  <c r="AA10" i="2" a="1"/>
  <c r="AA10" i="2"/>
  <c r="C10" i="2"/>
  <c r="AA9" i="2" a="1"/>
  <c r="AA9" i="2"/>
  <c r="C9" i="2"/>
  <c r="AA8" i="2" a="1"/>
  <c r="AA8" i="2"/>
  <c r="C8" i="2"/>
  <c r="AA7" i="2" a="1"/>
  <c r="AA7" i="2"/>
  <c r="C7" i="2"/>
  <c r="AA6" i="2" a="1"/>
  <c r="AA6" i="2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<sst xmlns="http://schemas.openxmlformats.org/spreadsheetml/2006/main" count="119" uniqueCount="70">
  <si>
    <t>##var</t>
  </si>
  <si>
    <t>MapID</t>
  </si>
  <si>
    <t>MapResPath</t>
  </si>
  <si>
    <t>GridResPath</t>
  </si>
  <si>
    <t>GridIcon</t>
  </si>
  <si>
    <t>BornPosEffID</t>
  </si>
  <si>
    <t>WaveTipPos</t>
  </si>
  <si>
    <t>BattleCenter</t>
  </si>
  <si>
    <t>PathList</t>
  </si>
  <si>
    <t>##type</t>
  </si>
  <si>
    <t>int</t>
  </si>
  <si>
    <t>string</t>
  </si>
  <si>
    <t>Pos</t>
  </si>
  <si>
    <t>list,int</t>
  </si>
  <si>
    <t>float</t>
  </si>
  <si>
    <t>##group</t>
  </si>
  <si>
    <t>##</t>
  </si>
  <si>
    <t>地图ID</t>
  </si>
  <si>
    <t>地图资源</t>
  </si>
  <si>
    <t>格子资源</t>
  </si>
  <si>
    <t>格子图片</t>
  </si>
  <si>
    <t>出生点特效ID</t>
  </si>
  <si>
    <t>波次提示位置_X</t>
  </si>
  <si>
    <t>波次提示位置_Y</t>
  </si>
  <si>
    <t>战场中心_X</t>
  </si>
  <si>
    <t>战场中心_Y</t>
  </si>
  <si>
    <t>路径点_1</t>
  </si>
  <si>
    <t>路径点_2</t>
  </si>
  <si>
    <t>路径点_3</t>
  </si>
  <si>
    <t>路径点_4</t>
  </si>
  <si>
    <t>ID</t>
  </si>
  <si>
    <t>GroupID</t>
  </si>
  <si>
    <t>MonsterPos</t>
  </si>
  <si>
    <t>MonsterFlagPos</t>
  </si>
  <si>
    <t>PortalPos</t>
  </si>
  <si>
    <t>WaveArrowPos</t>
  </si>
  <si>
    <t>WaveArrowRot</t>
  </si>
  <si>
    <t>MaxRadius</t>
  </si>
  <si>
    <t>PathCnt</t>
  </si>
  <si>
    <t>NextID</t>
  </si>
  <si>
    <t>PrevID</t>
  </si>
  <si>
    <t>bool</t>
  </si>
  <si>
    <t>list,Pos</t>
  </si>
  <si>
    <t>组ID</t>
  </si>
  <si>
    <t>怪物出生点_X</t>
  </si>
  <si>
    <t>怪物出生点_Y</t>
  </si>
  <si>
    <t>出生点旗帜位置_X</t>
  </si>
  <si>
    <t>出生点旗帜位置_Y</t>
  </si>
  <si>
    <t>传送门位置_X</t>
  </si>
  <si>
    <t>传送门位置_Y</t>
  </si>
  <si>
    <t>不显示波次箭头</t>
  </si>
  <si>
    <t>波次箭头位置_X</t>
  </si>
  <si>
    <t>波次箭头位置_Y</t>
  </si>
  <si>
    <t>波次箭头旋转角度</t>
  </si>
  <si>
    <t>范围半径</t>
  </si>
  <si>
    <t>路径点数量</t>
  </si>
  <si>
    <t>怪物路径点_1_X</t>
  </si>
  <si>
    <t>怪物路径点_1_Y</t>
  </si>
  <si>
    <t>怪物路径点_2_X</t>
  </si>
  <si>
    <t>怪物路径点_2_Y</t>
  </si>
  <si>
    <t>怪物路径点_3_X</t>
  </si>
  <si>
    <t>怪物路径点_3_Y</t>
  </si>
  <si>
    <t>怪物路径点_4_X</t>
  </si>
  <si>
    <t>怪物路径点_4_Y</t>
  </si>
  <si>
    <t>怪物路径点_5_X</t>
  </si>
  <si>
    <t>怪物路径点_5_Y</t>
  </si>
  <si>
    <t>下一跳转点</t>
  </si>
  <si>
    <t>上一跳转点</t>
  </si>
  <si>
    <t>备注*策划</t>
  </si>
  <si>
    <t>nongchang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</si>
</sst>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5849482711264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14395580919829"/>
      </left>
      <right style="thin">
        <color theme="0" tint="-0.14914395580919829"/>
      </right>
      <top style="thin">
        <color theme="0" tint="-0.14914395580919829"/>
      </top>
      <bottom style="thin">
        <color theme="0" tint="-0.14914395580919829"/>
      </bottom>
      <diagonal/>
    </border>
  </borders>
  <cellStyleXfs count="5">
    <xf numFmtId="0" fontId="0" fillId="0" borderId="0"/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7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 wrapText="1"/>
    </xf>
    <xf numFmtId="0" fontId="4" fillId="4" borderId="0" xfId="4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" fillId="6" borderId="0" xfId="4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4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4" fillId="8" borderId="2" xfId="3" applyFont="1" applyFill="1" applyBorder="1" applyAlignment="1">
      <alignment horizontal="center" vertical="center"/>
    </xf>
    <xf numFmtId="0" fontId="4" fillId="8" borderId="0" xfId="3" applyFont="1" applyFill="1" applyAlignment="1">
      <alignment horizontal="center" vertical="center"/>
    </xf>
    <xf numFmtId="0" fontId="4" fillId="8" borderId="0" xfId="4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9" borderId="0" xfId="3" applyFont="1" applyFill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4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</cellXfs>
  <cellStyles count="5">
    <cellStyle name="差" xfId="2" builtinId="27"/>
    <cellStyle name="常规" xfId="0" builtinId="0"/>
    <cellStyle name="常规 2" xfId="3" xr:uid="{00000000-0005-0000-0000-000031000000}"/>
    <cellStyle name="常规 3" xfId="4" xr:uid="{00000000-0005-0000-0000-000032000000}"/>
    <cellStyle name="好" xfId="1" builtinId="2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C10" sqref="C10"/>
    </sheetView>
  </sheetViews>
  <sheetFormatPr defaultColWidth="9" defaultRowHeight="15.5" x14ac:dyDescent="0.4"/>
  <cols>
    <col min="2" max="2" width="9" style="13"/>
    <col min="3" max="3" width="46.08984375" style="13" customWidth="1"/>
    <col min="4" max="4" width="26.90625" style="13" customWidth="1"/>
    <col min="5" max="6" width="27.6328125" style="13" customWidth="1"/>
    <col min="7" max="7" width="17.6328125" style="13" customWidth="1"/>
    <col min="8" max="8" width="16.90625" style="13" customWidth="1"/>
    <col min="9" max="10" width="16" style="13" customWidth="1"/>
    <col min="11" max="14" width="9.6328125" style="13" customWidth="1"/>
  </cols>
  <sheetData>
    <row r="1" spans="1:14" ht="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1" t="s">
        <v>6</v>
      </c>
      <c r="H1" s="21"/>
      <c r="I1" s="21" t="s">
        <v>7</v>
      </c>
      <c r="J1" s="21"/>
      <c r="K1" s="21" t="s">
        <v>8</v>
      </c>
      <c r="L1" s="21"/>
      <c r="M1" s="21"/>
      <c r="N1" s="21"/>
    </row>
    <row r="2" spans="1:14" ht="14" x14ac:dyDescent="0.25">
      <c r="A2" s="4" t="s">
        <v>9</v>
      </c>
      <c r="B2" s="4" t="s">
        <v>10</v>
      </c>
      <c r="C2" s="4" t="s">
        <v>11</v>
      </c>
      <c r="D2" s="4" t="s">
        <v>11</v>
      </c>
      <c r="E2" s="4" t="s">
        <v>11</v>
      </c>
      <c r="F2" s="4" t="s">
        <v>10</v>
      </c>
      <c r="G2" s="22" t="s">
        <v>12</v>
      </c>
      <c r="H2" s="22"/>
      <c r="I2" s="22" t="s">
        <v>12</v>
      </c>
      <c r="J2" s="22"/>
      <c r="K2" s="22" t="s">
        <v>13</v>
      </c>
      <c r="L2" s="22"/>
      <c r="M2" s="22"/>
      <c r="N2" s="22"/>
    </row>
    <row r="3" spans="1:14" ht="14" x14ac:dyDescent="0.25">
      <c r="A3" s="4" t="s">
        <v>9</v>
      </c>
      <c r="B3" s="4"/>
      <c r="C3" s="4"/>
      <c r="D3" s="4"/>
      <c r="E3" s="4"/>
      <c r="F3" s="4"/>
      <c r="G3" s="4" t="s">
        <v>14</v>
      </c>
      <c r="H3" s="4" t="s">
        <v>14</v>
      </c>
      <c r="I3" s="4" t="s">
        <v>14</v>
      </c>
      <c r="J3" s="4" t="s">
        <v>14</v>
      </c>
      <c r="K3" s="4" t="s">
        <v>10</v>
      </c>
      <c r="L3" s="4" t="s">
        <v>10</v>
      </c>
      <c r="M3" s="4" t="s">
        <v>10</v>
      </c>
      <c r="N3" s="4" t="s">
        <v>10</v>
      </c>
    </row>
    <row r="4" spans="1:14" ht="14" x14ac:dyDescent="0.25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12" customFormat="1" ht="14.5" x14ac:dyDescent="0.25">
      <c r="A5" s="3" t="s">
        <v>16</v>
      </c>
      <c r="B5" s="14" t="s">
        <v>17</v>
      </c>
      <c r="C5" s="15" t="s">
        <v>18</v>
      </c>
      <c r="D5" s="16" t="s">
        <v>19</v>
      </c>
      <c r="E5" s="16" t="s">
        <v>20</v>
      </c>
      <c r="F5" s="16" t="s">
        <v>21</v>
      </c>
      <c r="G5" s="16" t="s">
        <v>22</v>
      </c>
      <c r="H5" s="16" t="s">
        <v>23</v>
      </c>
      <c r="I5" s="16" t="s">
        <v>24</v>
      </c>
      <c r="J5" s="16" t="s">
        <v>25</v>
      </c>
      <c r="K5" s="16" t="s">
        <v>26</v>
      </c>
      <c r="L5" s="16" t="s">
        <v>27</v>
      </c>
      <c r="M5" s="16" t="s">
        <v>28</v>
      </c>
      <c r="N5" s="16" t="s">
        <v>29</v>
      </c>
    </row>
    <row r="6" spans="1:14" x14ac:dyDescent="0.4">
      <c r="B6" s="17">
        <v>10011</v>
      </c>
      <c r="C6" s="17" t="s">
        <v>69</v>
      </c>
      <c r="D6" s="18"/>
      <c r="E6" s="18"/>
      <c r="F6" s="18"/>
      <c r="G6" s="18">
        <v>0</v>
      </c>
      <c r="H6" s="18">
        <v>4.3499999999999996</v>
      </c>
      <c r="I6" s="18">
        <v>0</v>
      </c>
      <c r="J6" s="18">
        <v>0</v>
      </c>
      <c r="K6" s="18">
        <v>1001100</v>
      </c>
      <c r="L6" s="18"/>
      <c r="M6" s="18"/>
      <c r="N6" s="18"/>
    </row>
    <row r="7" spans="1:14" x14ac:dyDescent="0.4">
      <c r="B7" s="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4">
      <c r="B8" s="1"/>
      <c r="C8" s="2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4">
      <c r="B9" s="1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x14ac:dyDescent="0.4">
      <c r="B10" s="1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x14ac:dyDescent="0.4">
      <c r="B11" s="1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4">
      <c r="B12" s="1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4">
      <c r="B13" s="1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x14ac:dyDescent="0.4">
      <c r="B14" s="1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x14ac:dyDescent="0.4">
      <c r="B15" s="1"/>
      <c r="C15" s="20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4">
      <c r="B16" s="1"/>
      <c r="C16" s="2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2:14" x14ac:dyDescent="0.4">
      <c r="B17" s="1"/>
      <c r="C17" s="20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x14ac:dyDescent="0.4">
      <c r="B18" s="1"/>
      <c r="C18" s="20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2:14" x14ac:dyDescent="0.4">
      <c r="B19" s="1"/>
      <c r="C19" s="20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2:14" x14ac:dyDescent="0.4">
      <c r="B20" s="1"/>
      <c r="C20" s="20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2:14" x14ac:dyDescent="0.4">
      <c r="B21" s="1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4" x14ac:dyDescent="0.4">
      <c r="B22" s="1"/>
      <c r="C22" s="20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2:14" x14ac:dyDescent="0.4">
      <c r="B23" s="1"/>
      <c r="C23" s="20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2:14" x14ac:dyDescent="0.4">
      <c r="B24" s="1"/>
      <c r="C24" s="20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2:14" x14ac:dyDescent="0.4">
      <c r="B25" s="1"/>
      <c r="C25" s="20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2:14" x14ac:dyDescent="0.4">
      <c r="B26" s="1"/>
      <c r="C26" s="20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2:14" x14ac:dyDescent="0.4">
      <c r="B27" s="1"/>
      <c r="C27" s="20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2:14" x14ac:dyDescent="0.4">
      <c r="B28" s="1"/>
      <c r="C28" s="20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2:14" x14ac:dyDescent="0.4">
      <c r="B29" s="1"/>
      <c r="C29" s="20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2:14" x14ac:dyDescent="0.4">
      <c r="B30" s="1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4" x14ac:dyDescent="0.4">
      <c r="B31" s="1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2:14" x14ac:dyDescent="0.4">
      <c r="B32" s="1"/>
      <c r="C32" s="20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2:14" x14ac:dyDescent="0.4">
      <c r="B33" s="1"/>
      <c r="C33" s="2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2:14" x14ac:dyDescent="0.4">
      <c r="B34" s="1"/>
      <c r="C34" s="2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2:14" x14ac:dyDescent="0.4">
      <c r="B35" s="1"/>
      <c r="C35" s="2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2:14" x14ac:dyDescent="0.4">
      <c r="B36" s="1"/>
      <c r="C36" s="20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2:14" x14ac:dyDescent="0.4">
      <c r="B37" s="1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4" x14ac:dyDescent="0.4">
      <c r="B38" s="1"/>
      <c r="C38" s="20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2:14" x14ac:dyDescent="0.4">
      <c r="B39" s="1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2:14" x14ac:dyDescent="0.4">
      <c r="B40" s="1"/>
      <c r="C40" s="20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2:14" x14ac:dyDescent="0.4">
      <c r="B41" s="1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2:14" x14ac:dyDescent="0.4">
      <c r="B42" s="1"/>
      <c r="C42" s="20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2:14" x14ac:dyDescent="0.4">
      <c r="B43" s="1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2:14" x14ac:dyDescent="0.4">
      <c r="B44" s="1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2:14" x14ac:dyDescent="0.4">
      <c r="B45" s="1"/>
      <c r="C45" s="20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2:14" x14ac:dyDescent="0.4">
      <c r="B46" s="1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2:14" x14ac:dyDescent="0.4">
      <c r="B47" s="1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2:14" x14ac:dyDescent="0.4">
      <c r="B48" s="1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2:14" x14ac:dyDescent="0.4">
      <c r="B49" s="1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2:14" x14ac:dyDescent="0.4">
      <c r="B50" s="1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2:14" x14ac:dyDescent="0.4">
      <c r="B51" s="1"/>
      <c r="C51" s="20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2:14" x14ac:dyDescent="0.4">
      <c r="B52" s="1"/>
      <c r="C52" s="20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2:14" x14ac:dyDescent="0.4">
      <c r="B53" s="1"/>
      <c r="C53" s="2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2:14" x14ac:dyDescent="0.4">
      <c r="B54" s="1"/>
      <c r="C54" s="20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2:14" x14ac:dyDescent="0.4">
      <c r="B55" s="1"/>
      <c r="C55" s="20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2:14" x14ac:dyDescent="0.4">
      <c r="B56" s="1"/>
      <c r="C56" s="20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2:14" x14ac:dyDescent="0.4">
      <c r="B57" s="1"/>
      <c r="C57" s="20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2:14" x14ac:dyDescent="0.4">
      <c r="B58" s="1"/>
      <c r="C58" s="20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2:14" x14ac:dyDescent="0.4">
      <c r="B59" s="1"/>
      <c r="C59" s="20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2:14" x14ac:dyDescent="0.4">
      <c r="B60" s="1"/>
      <c r="C60" s="20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2:14" x14ac:dyDescent="0.4">
      <c r="B61" s="1"/>
      <c r="C61" s="20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2:14" x14ac:dyDescent="0.4">
      <c r="B62" s="1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2:14" x14ac:dyDescent="0.4">
      <c r="B63" s="1"/>
      <c r="C63" s="20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2:14" x14ac:dyDescent="0.4">
      <c r="B64" s="1"/>
      <c r="C64" s="20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2:14" x14ac:dyDescent="0.4">
      <c r="B65" s="1"/>
      <c r="C65" s="20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2:14" x14ac:dyDescent="0.4">
      <c r="B66" s="1"/>
      <c r="C66" s="2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2:14" x14ac:dyDescent="0.4">
      <c r="B67" s="1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2:14" x14ac:dyDescent="0.4">
      <c r="B68" s="1"/>
      <c r="C68" s="20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2:14" x14ac:dyDescent="0.4">
      <c r="B69" s="1"/>
      <c r="C69" s="20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2:14" x14ac:dyDescent="0.4">
      <c r="B70" s="1"/>
      <c r="C70" s="20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2:14" x14ac:dyDescent="0.4">
      <c r="B71" s="1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2:14" x14ac:dyDescent="0.4">
      <c r="B72" s="1"/>
      <c r="C72" s="20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2:14" x14ac:dyDescent="0.4">
      <c r="B73" s="1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2:14" x14ac:dyDescent="0.4">
      <c r="B74" s="1"/>
      <c r="C74" s="20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2:14" x14ac:dyDescent="0.4">
      <c r="B75" s="1"/>
      <c r="C75" s="2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2:14" x14ac:dyDescent="0.4">
      <c r="B76" s="1"/>
      <c r="C76" s="2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2:14" x14ac:dyDescent="0.4">
      <c r="B77" s="1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2:14" x14ac:dyDescent="0.4">
      <c r="B78" s="1"/>
      <c r="C78" s="20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2:14" x14ac:dyDescent="0.4">
      <c r="B79" s="1"/>
      <c r="C79" s="20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2:14" x14ac:dyDescent="0.4">
      <c r="B80" s="1"/>
      <c r="C80" s="20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x14ac:dyDescent="0.4">
      <c r="B81" s="1"/>
      <c r="C81" s="20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2:14" x14ac:dyDescent="0.4">
      <c r="B82" s="1"/>
      <c r="C82" s="20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2:14" x14ac:dyDescent="0.4">
      <c r="B83" s="1"/>
      <c r="C83" s="20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2:14" x14ac:dyDescent="0.4">
      <c r="B84" s="1"/>
      <c r="C84" s="2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2:14" x14ac:dyDescent="0.4">
      <c r="B85" s="1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x14ac:dyDescent="0.4">
      <c r="B86" s="1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4" x14ac:dyDescent="0.4">
      <c r="B87" s="1"/>
      <c r="C87" s="20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4" x14ac:dyDescent="0.4">
      <c r="B88" s="1"/>
      <c r="C88" s="20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2:14" x14ac:dyDescent="0.4">
      <c r="B89" s="1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2:14" x14ac:dyDescent="0.4">
      <c r="B90" s="1"/>
      <c r="C90" s="20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4" x14ac:dyDescent="0.4">
      <c r="B91" s="1"/>
      <c r="C91" s="20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2:14" x14ac:dyDescent="0.4">
      <c r="B92" s="1"/>
      <c r="C92" s="20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2:14" x14ac:dyDescent="0.4">
      <c r="B93" s="1"/>
      <c r="C93" s="2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2:14" x14ac:dyDescent="0.4">
      <c r="B94" s="1"/>
      <c r="C94" s="20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spans="2:14" x14ac:dyDescent="0.4">
      <c r="B95" s="1"/>
      <c r="C95" s="20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2:14" x14ac:dyDescent="0.4">
      <c r="B96" s="1"/>
      <c r="C96" s="20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spans="2:14" x14ac:dyDescent="0.4">
      <c r="B97" s="1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2:14" x14ac:dyDescent="0.4">
      <c r="B98" s="1"/>
      <c r="C98" s="20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2:14" x14ac:dyDescent="0.4">
      <c r="B99" s="1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2:14" x14ac:dyDescent="0.4">
      <c r="B100" s="1"/>
      <c r="C100" s="20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2:14" x14ac:dyDescent="0.4">
      <c r="B101" s="1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2:14" x14ac:dyDescent="0.4">
      <c r="B102" s="1"/>
      <c r="C102" s="20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spans="2:14" x14ac:dyDescent="0.4">
      <c r="B103" s="1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2:14" x14ac:dyDescent="0.4">
      <c r="B104" s="1"/>
      <c r="C104" s="20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spans="2:14" x14ac:dyDescent="0.4">
      <c r="B105" s="1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2:14" x14ac:dyDescent="0.4">
      <c r="B106" s="1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</sheetData>
  <mergeCells count="6">
    <mergeCell ref="G1:H1"/>
    <mergeCell ref="I1:J1"/>
    <mergeCell ref="K1:N1"/>
    <mergeCell ref="G2:H2"/>
    <mergeCell ref="I2:J2"/>
    <mergeCell ref="K2:N2"/>
  </mergeCells>
  <phoneticPr fontId="8" type="noConversion"/>
  <conditionalFormatting sqref="B6">
    <cfRule type="duplicateValues" dxfId="0" priority="20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"/>
  <sheetViews>
    <sheetView workbookViewId="0">
      <selection activeCell="X3" sqref="X3:Y3"/>
    </sheetView>
  </sheetViews>
  <sheetFormatPr defaultColWidth="9" defaultRowHeight="14.5" x14ac:dyDescent="0.25"/>
  <cols>
    <col min="1" max="1" width="9" style="1"/>
    <col min="2" max="2" width="8.453125" style="2" customWidth="1"/>
    <col min="3" max="3" width="9.90625" style="2" customWidth="1"/>
    <col min="4" max="5" width="13.7265625" style="2" customWidth="1"/>
    <col min="6" max="7" width="18.26953125" style="2" customWidth="1"/>
    <col min="8" max="9" width="12.6328125" style="2" customWidth="1"/>
    <col min="10" max="10" width="8.453125" style="2" customWidth="1"/>
    <col min="11" max="12" width="16" style="2" customWidth="1"/>
    <col min="13" max="13" width="13.7265625" style="2" customWidth="1"/>
    <col min="14" max="14" width="10.36328125" style="2" customWidth="1"/>
    <col min="15" max="15" width="8.36328125" style="2" customWidth="1"/>
    <col min="16" max="25" width="13.7265625" style="2" customWidth="1"/>
    <col min="26" max="27" width="11.26953125" style="2" customWidth="1"/>
    <col min="28" max="16384" width="9" style="1"/>
  </cols>
  <sheetData>
    <row r="1" spans="1:28" x14ac:dyDescent="0.25">
      <c r="A1" s="3" t="s">
        <v>0</v>
      </c>
      <c r="B1" s="3" t="s">
        <v>30</v>
      </c>
      <c r="C1" s="3" t="s">
        <v>31</v>
      </c>
      <c r="D1" s="21" t="s">
        <v>32</v>
      </c>
      <c r="E1" s="21"/>
      <c r="F1" s="21" t="s">
        <v>33</v>
      </c>
      <c r="G1" s="21"/>
      <c r="H1" s="21" t="s">
        <v>34</v>
      </c>
      <c r="I1" s="21"/>
      <c r="J1" s="3"/>
      <c r="K1" s="21" t="s">
        <v>35</v>
      </c>
      <c r="L1" s="21"/>
      <c r="M1" s="3" t="s">
        <v>36</v>
      </c>
      <c r="N1" s="3" t="s">
        <v>37</v>
      </c>
      <c r="O1" s="3" t="s">
        <v>38</v>
      </c>
      <c r="P1" s="21" t="s">
        <v>8</v>
      </c>
      <c r="Q1" s="21"/>
      <c r="R1" s="21"/>
      <c r="S1" s="21"/>
      <c r="T1" s="21"/>
      <c r="U1" s="21"/>
      <c r="V1" s="21"/>
      <c r="W1" s="21"/>
      <c r="X1" s="21"/>
      <c r="Y1" s="21"/>
      <c r="Z1" s="3" t="s">
        <v>39</v>
      </c>
      <c r="AA1" s="3" t="s">
        <v>40</v>
      </c>
      <c r="AB1" s="1" t="s">
        <v>16</v>
      </c>
    </row>
    <row r="2" spans="1:28" x14ac:dyDescent="0.25">
      <c r="A2" s="4" t="s">
        <v>9</v>
      </c>
      <c r="B2" s="4" t="s">
        <v>10</v>
      </c>
      <c r="C2" s="4" t="s">
        <v>10</v>
      </c>
      <c r="D2" s="22" t="s">
        <v>12</v>
      </c>
      <c r="E2" s="22"/>
      <c r="F2" s="22" t="s">
        <v>12</v>
      </c>
      <c r="G2" s="22"/>
      <c r="H2" s="22" t="s">
        <v>12</v>
      </c>
      <c r="I2" s="22"/>
      <c r="J2" s="4" t="s">
        <v>41</v>
      </c>
      <c r="K2" s="22" t="s">
        <v>12</v>
      </c>
      <c r="L2" s="22"/>
      <c r="M2" s="4" t="s">
        <v>14</v>
      </c>
      <c r="N2" s="4" t="s">
        <v>14</v>
      </c>
      <c r="O2" s="4" t="s">
        <v>10</v>
      </c>
      <c r="P2" s="22" t="s">
        <v>42</v>
      </c>
      <c r="Q2" s="22"/>
      <c r="R2" s="22"/>
      <c r="S2" s="22"/>
      <c r="T2" s="22"/>
      <c r="U2" s="22"/>
      <c r="V2" s="22"/>
      <c r="W2" s="22"/>
      <c r="X2" s="22"/>
      <c r="Y2" s="22"/>
      <c r="Z2" s="4" t="s">
        <v>10</v>
      </c>
      <c r="AA2" s="4" t="s">
        <v>10</v>
      </c>
    </row>
    <row r="3" spans="1:28" x14ac:dyDescent="0.25">
      <c r="A3" s="4" t="s">
        <v>9</v>
      </c>
      <c r="B3" s="4"/>
      <c r="C3" s="4"/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/>
      <c r="K3" s="4" t="s">
        <v>14</v>
      </c>
      <c r="L3" s="4" t="s">
        <v>14</v>
      </c>
      <c r="M3" s="4"/>
      <c r="N3" s="4"/>
      <c r="O3" s="4"/>
      <c r="P3" s="4" t="s">
        <v>14</v>
      </c>
      <c r="Q3" s="4" t="s">
        <v>14</v>
      </c>
      <c r="R3" s="4" t="s">
        <v>14</v>
      </c>
      <c r="S3" s="4" t="s">
        <v>14</v>
      </c>
      <c r="T3" s="4" t="s">
        <v>14</v>
      </c>
      <c r="U3" s="4" t="s">
        <v>14</v>
      </c>
      <c r="V3" s="4" t="s">
        <v>14</v>
      </c>
      <c r="W3" s="4" t="s">
        <v>14</v>
      </c>
      <c r="X3" s="4" t="s">
        <v>14</v>
      </c>
      <c r="Y3" s="4" t="s">
        <v>14</v>
      </c>
      <c r="Z3" s="4"/>
      <c r="AA3" s="4"/>
    </row>
    <row r="4" spans="1:28" x14ac:dyDescent="0.25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8" ht="36" customHeight="1" x14ac:dyDescent="0.25">
      <c r="A5" s="3" t="s">
        <v>16</v>
      </c>
      <c r="B5" s="5" t="s">
        <v>30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6" t="s">
        <v>53</v>
      </c>
      <c r="N5" s="6" t="s">
        <v>54</v>
      </c>
      <c r="O5" s="6" t="s">
        <v>55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66</v>
      </c>
      <c r="AA5" s="6" t="s">
        <v>67</v>
      </c>
      <c r="AB5" s="7" t="s">
        <v>68</v>
      </c>
    </row>
    <row r="6" spans="1:28" x14ac:dyDescent="0.25">
      <c r="B6" s="8">
        <v>1001100</v>
      </c>
      <c r="C6" s="8" t="str">
        <f>LEFT(B6,6)</f>
        <v>100110</v>
      </c>
      <c r="D6" s="8">
        <v>2.8</v>
      </c>
      <c r="E6" s="8">
        <v>4.0999999999999996</v>
      </c>
      <c r="F6" s="8">
        <v>2.8</v>
      </c>
      <c r="G6" s="8">
        <v>4.4000000000000004</v>
      </c>
      <c r="H6" s="8">
        <v>2.8</v>
      </c>
      <c r="I6" s="8">
        <v>4.4000000000000004</v>
      </c>
      <c r="J6" s="8">
        <v>1</v>
      </c>
      <c r="K6" s="8">
        <v>1.8</v>
      </c>
      <c r="L6" s="8">
        <v>4.4000000000000004</v>
      </c>
      <c r="M6" s="8">
        <v>90</v>
      </c>
      <c r="N6" s="8">
        <v>0</v>
      </c>
      <c r="O6" s="8">
        <v>3</v>
      </c>
      <c r="P6" s="8">
        <v>-2.65</v>
      </c>
      <c r="Q6" s="8">
        <v>4.0999999999999996</v>
      </c>
      <c r="R6" s="8">
        <v>-2.65</v>
      </c>
      <c r="S6" s="8">
        <v>-3.45</v>
      </c>
      <c r="T6" s="8">
        <v>2.8</v>
      </c>
      <c r="U6" s="8">
        <v>-3.45</v>
      </c>
      <c r="V6" s="9"/>
      <c r="W6" s="9"/>
      <c r="X6" s="9"/>
      <c r="Y6" s="9"/>
      <c r="Z6" s="9"/>
      <c r="AA6" s="9" t="str" cm="1">
        <f t="array" ref="AA6">IFERROR(INDEX(B:B,MATCH(B6,Z:Z,0)),"")</f>
        <v/>
      </c>
    </row>
    <row r="7" spans="1:28" x14ac:dyDescent="0.25">
      <c r="B7" s="8">
        <v>1001101</v>
      </c>
      <c r="C7" s="8" t="str">
        <f t="shared" ref="C7:C14" si="0">LEFT(B7,6)</f>
        <v>100110</v>
      </c>
      <c r="D7" s="8">
        <v>2.8</v>
      </c>
      <c r="E7" s="8">
        <v>4.0999999999999996</v>
      </c>
      <c r="F7" s="8">
        <v>2.8</v>
      </c>
      <c r="G7" s="8">
        <v>4.4000000000000004</v>
      </c>
      <c r="H7" s="8">
        <v>2.8</v>
      </c>
      <c r="I7" s="8">
        <v>4.4000000000000004</v>
      </c>
      <c r="J7" s="8"/>
      <c r="K7" s="8">
        <v>1.8</v>
      </c>
      <c r="L7" s="8">
        <v>4.4000000000000004</v>
      </c>
      <c r="M7" s="8">
        <v>90</v>
      </c>
      <c r="N7" s="8">
        <v>0.1</v>
      </c>
      <c r="O7" s="8">
        <v>3</v>
      </c>
      <c r="P7" s="8">
        <v>-2.65</v>
      </c>
      <c r="Q7" s="8">
        <v>4.0999999999999996</v>
      </c>
      <c r="R7" s="8">
        <v>-2.65</v>
      </c>
      <c r="S7" s="8">
        <v>-3.45</v>
      </c>
      <c r="T7" s="8">
        <v>2.8</v>
      </c>
      <c r="U7" s="8">
        <v>-3.45</v>
      </c>
      <c r="V7" s="9"/>
      <c r="W7" s="9"/>
      <c r="X7" s="9"/>
      <c r="Y7" s="9"/>
      <c r="Z7" s="9"/>
      <c r="AA7" s="9" t="str" cm="1">
        <f t="array" ref="AA7">IFERROR(INDEX(B:B,MATCH(B7,Z:Z,0)),"")</f>
        <v/>
      </c>
    </row>
    <row r="8" spans="1:28" x14ac:dyDescent="0.25">
      <c r="B8" s="8">
        <v>1001102</v>
      </c>
      <c r="C8" s="8" t="str">
        <f t="shared" si="0"/>
        <v>100110</v>
      </c>
      <c r="D8" s="8">
        <v>2.8</v>
      </c>
      <c r="E8" s="8">
        <v>4.0999999999999996</v>
      </c>
      <c r="F8" s="8">
        <v>2.8</v>
      </c>
      <c r="G8" s="8">
        <v>4.4000000000000004</v>
      </c>
      <c r="H8" s="8">
        <v>2.8</v>
      </c>
      <c r="I8" s="8">
        <v>4.4000000000000004</v>
      </c>
      <c r="J8" s="8"/>
      <c r="K8" s="8">
        <v>1.8</v>
      </c>
      <c r="L8" s="8">
        <v>4.4000000000000004</v>
      </c>
      <c r="M8" s="8">
        <v>90</v>
      </c>
      <c r="N8" s="8">
        <v>0</v>
      </c>
      <c r="O8" s="8">
        <v>3</v>
      </c>
      <c r="P8" s="8">
        <v>-2.65</v>
      </c>
      <c r="Q8" s="8">
        <v>4.0999999999999996</v>
      </c>
      <c r="R8" s="8">
        <v>-2.65</v>
      </c>
      <c r="S8" s="8">
        <v>-3.45</v>
      </c>
      <c r="T8" s="8">
        <v>2.8</v>
      </c>
      <c r="U8" s="8">
        <v>-3.45</v>
      </c>
      <c r="V8" s="9"/>
      <c r="W8" s="9"/>
      <c r="X8" s="9"/>
      <c r="Y8" s="9"/>
      <c r="Z8" s="9"/>
      <c r="AA8" s="9" t="str" cm="1">
        <f t="array" ref="AA8">IFERROR(INDEX(B:B,MATCH(B8,Z:Z,0)),"")</f>
        <v/>
      </c>
    </row>
    <row r="9" spans="1:28" x14ac:dyDescent="0.25">
      <c r="B9" s="10">
        <v>1001200</v>
      </c>
      <c r="C9" s="10" t="str">
        <f t="shared" si="0"/>
        <v>100120</v>
      </c>
      <c r="D9" s="10">
        <v>2.8</v>
      </c>
      <c r="E9" s="10">
        <v>4.0999999999999996</v>
      </c>
      <c r="F9" s="10">
        <v>2.8</v>
      </c>
      <c r="G9" s="10">
        <v>4.4000000000000004</v>
      </c>
      <c r="H9" s="10">
        <v>2.8</v>
      </c>
      <c r="I9" s="10">
        <v>4.4000000000000004</v>
      </c>
      <c r="J9" s="10">
        <v>1</v>
      </c>
      <c r="K9" s="10">
        <v>1.8</v>
      </c>
      <c r="L9" s="10">
        <v>4.4000000000000004</v>
      </c>
      <c r="M9" s="10">
        <v>90</v>
      </c>
      <c r="N9" s="10">
        <v>0</v>
      </c>
      <c r="O9" s="10">
        <v>3</v>
      </c>
      <c r="P9" s="10">
        <v>-2.65</v>
      </c>
      <c r="Q9" s="10">
        <v>4.0999999999999996</v>
      </c>
      <c r="R9" s="10">
        <v>-2.65</v>
      </c>
      <c r="S9" s="10">
        <v>-3.45</v>
      </c>
      <c r="T9" s="10">
        <v>2.8</v>
      </c>
      <c r="U9" s="10">
        <v>-3.45</v>
      </c>
      <c r="V9" s="11"/>
      <c r="W9" s="11"/>
      <c r="X9" s="11"/>
      <c r="Y9" s="11"/>
      <c r="Z9" s="11"/>
      <c r="AA9" s="11" t="str" cm="1">
        <f t="array" ref="AA9">IFERROR(INDEX(B:B,MATCH(B9,Z:Z,0)),"")</f>
        <v/>
      </c>
    </row>
    <row r="10" spans="1:28" x14ac:dyDescent="0.25">
      <c r="B10" s="10">
        <v>1001201</v>
      </c>
      <c r="C10" s="10" t="str">
        <f t="shared" si="0"/>
        <v>100120</v>
      </c>
      <c r="D10" s="10">
        <v>2.8</v>
      </c>
      <c r="E10" s="10">
        <v>4.0999999999999996</v>
      </c>
      <c r="F10" s="10">
        <v>2.8</v>
      </c>
      <c r="G10" s="10">
        <v>4.4000000000000004</v>
      </c>
      <c r="H10" s="10">
        <v>2.8</v>
      </c>
      <c r="I10" s="10">
        <v>4.4000000000000004</v>
      </c>
      <c r="J10" s="10"/>
      <c r="K10" s="10">
        <v>1.8</v>
      </c>
      <c r="L10" s="10">
        <v>4.4000000000000004</v>
      </c>
      <c r="M10" s="10">
        <v>90</v>
      </c>
      <c r="N10" s="10">
        <v>0.1</v>
      </c>
      <c r="O10" s="10">
        <v>3</v>
      </c>
      <c r="P10" s="10">
        <v>-2.65</v>
      </c>
      <c r="Q10" s="10">
        <v>4.0999999999999996</v>
      </c>
      <c r="R10" s="10">
        <v>-2.65</v>
      </c>
      <c r="S10" s="10">
        <v>-3.45</v>
      </c>
      <c r="T10" s="10">
        <v>2.8</v>
      </c>
      <c r="U10" s="10">
        <v>-3.45</v>
      </c>
      <c r="V10" s="11"/>
      <c r="W10" s="11"/>
      <c r="X10" s="11"/>
      <c r="Y10" s="11"/>
      <c r="Z10" s="11"/>
      <c r="AA10" s="11" t="str" cm="1">
        <f t="array" ref="AA10">IFERROR(INDEX(B:B,MATCH(B10,Z:Z,0)),"")</f>
        <v/>
      </c>
    </row>
    <row r="11" spans="1:28" x14ac:dyDescent="0.25">
      <c r="B11" s="10">
        <v>1001202</v>
      </c>
      <c r="C11" s="10" t="str">
        <f t="shared" si="0"/>
        <v>100120</v>
      </c>
      <c r="D11" s="10">
        <v>2.8</v>
      </c>
      <c r="E11" s="10">
        <v>4.0999999999999996</v>
      </c>
      <c r="F11" s="10">
        <v>2.8</v>
      </c>
      <c r="G11" s="10">
        <v>4.4000000000000004</v>
      </c>
      <c r="H11" s="10">
        <v>2.8</v>
      </c>
      <c r="I11" s="10">
        <v>4.4000000000000004</v>
      </c>
      <c r="J11" s="10"/>
      <c r="K11" s="10">
        <v>1.8</v>
      </c>
      <c r="L11" s="10">
        <v>4.4000000000000004</v>
      </c>
      <c r="M11" s="10">
        <v>90</v>
      </c>
      <c r="N11" s="10">
        <v>0</v>
      </c>
      <c r="O11" s="10">
        <v>3</v>
      </c>
      <c r="P11" s="10">
        <v>-2.65</v>
      </c>
      <c r="Q11" s="10">
        <v>4.0999999999999996</v>
      </c>
      <c r="R11" s="10">
        <v>-2.65</v>
      </c>
      <c r="S11" s="10">
        <v>-3.45</v>
      </c>
      <c r="T11" s="10">
        <v>2.8</v>
      </c>
      <c r="U11" s="10">
        <v>-3.45</v>
      </c>
      <c r="V11" s="11"/>
      <c r="W11" s="11"/>
      <c r="X11" s="11"/>
      <c r="Y11" s="11"/>
      <c r="Z11" s="11"/>
      <c r="AA11" s="11" t="str" cm="1">
        <f t="array" ref="AA11">IFERROR(INDEX(B:B,MATCH(B11,Z:Z,0)),"")</f>
        <v/>
      </c>
    </row>
    <row r="12" spans="1:28" x14ac:dyDescent="0.25">
      <c r="B12" s="10">
        <v>1001210</v>
      </c>
      <c r="C12" s="10" t="str">
        <f t="shared" si="0"/>
        <v>100121</v>
      </c>
      <c r="D12" s="10">
        <v>-2.65</v>
      </c>
      <c r="E12" s="10">
        <v>5.0999999999999996</v>
      </c>
      <c r="F12" s="10">
        <v>-2.65</v>
      </c>
      <c r="G12" s="10">
        <v>5.0999999999999996</v>
      </c>
      <c r="H12" s="10">
        <v>-2.65</v>
      </c>
      <c r="I12" s="10">
        <v>5.0999999999999996</v>
      </c>
      <c r="J12" s="10">
        <v>1</v>
      </c>
      <c r="K12" s="10">
        <v>-2.65</v>
      </c>
      <c r="L12" s="10">
        <v>4.0999999999999996</v>
      </c>
      <c r="M12" s="10">
        <v>180</v>
      </c>
      <c r="N12" s="10">
        <v>0</v>
      </c>
      <c r="O12" s="10">
        <v>2</v>
      </c>
      <c r="P12" s="10">
        <v>-2.65</v>
      </c>
      <c r="Q12" s="10">
        <v>-3.45</v>
      </c>
      <c r="R12" s="10">
        <v>3</v>
      </c>
      <c r="S12" s="10">
        <v>-3.45</v>
      </c>
      <c r="T12" s="10"/>
      <c r="U12" s="10"/>
      <c r="V12" s="11"/>
      <c r="W12" s="11"/>
      <c r="X12" s="11"/>
      <c r="Y12" s="11"/>
      <c r="Z12" s="11"/>
      <c r="AA12" s="11" t="str" cm="1">
        <f t="array" ref="AA12">IFERROR(INDEX(B:B,MATCH(B12,Z:Z,0)),"")</f>
        <v/>
      </c>
    </row>
    <row r="13" spans="1:28" x14ac:dyDescent="0.25">
      <c r="B13" s="10">
        <v>1001211</v>
      </c>
      <c r="C13" s="10" t="str">
        <f t="shared" si="0"/>
        <v>100121</v>
      </c>
      <c r="D13" s="10">
        <v>-2.65</v>
      </c>
      <c r="E13" s="10">
        <v>5.0999999999999996</v>
      </c>
      <c r="F13" s="10">
        <v>-2.65</v>
      </c>
      <c r="G13" s="10">
        <v>5.0999999999999996</v>
      </c>
      <c r="H13" s="10">
        <v>-2.65</v>
      </c>
      <c r="I13" s="10">
        <v>5.0999999999999996</v>
      </c>
      <c r="J13" s="10"/>
      <c r="K13" s="10">
        <v>-2.65</v>
      </c>
      <c r="L13" s="10">
        <v>4.0999999999999996</v>
      </c>
      <c r="M13" s="10">
        <v>180</v>
      </c>
      <c r="N13" s="10">
        <v>0.1</v>
      </c>
      <c r="O13" s="10">
        <v>2</v>
      </c>
      <c r="P13" s="10">
        <v>-2.65</v>
      </c>
      <c r="Q13" s="10">
        <v>-3.45</v>
      </c>
      <c r="R13" s="10">
        <v>3</v>
      </c>
      <c r="S13" s="10">
        <v>-3.45</v>
      </c>
      <c r="T13" s="10"/>
      <c r="U13" s="10"/>
      <c r="V13" s="11"/>
      <c r="W13" s="11"/>
      <c r="X13" s="11"/>
      <c r="Y13" s="11"/>
      <c r="Z13" s="11"/>
      <c r="AA13" s="11" t="str" cm="1">
        <f t="array" ref="AA13">IFERROR(INDEX(B:B,MATCH(B13,Z:Z,0)),"")</f>
        <v/>
      </c>
    </row>
    <row r="14" spans="1:28" x14ac:dyDescent="0.25">
      <c r="B14" s="10">
        <v>1001212</v>
      </c>
      <c r="C14" s="10" t="str">
        <f t="shared" si="0"/>
        <v>100121</v>
      </c>
      <c r="D14" s="10">
        <v>-2.65</v>
      </c>
      <c r="E14" s="10">
        <v>5.0999999999999996</v>
      </c>
      <c r="F14" s="10">
        <v>-2.65</v>
      </c>
      <c r="G14" s="10">
        <v>5.0999999999999996</v>
      </c>
      <c r="H14" s="10">
        <v>-2.65</v>
      </c>
      <c r="I14" s="10">
        <v>5.0999999999999996</v>
      </c>
      <c r="J14" s="10"/>
      <c r="K14" s="10">
        <v>-2.65</v>
      </c>
      <c r="L14" s="10">
        <v>4.0999999999999996</v>
      </c>
      <c r="M14" s="10">
        <v>180</v>
      </c>
      <c r="N14" s="10">
        <v>0</v>
      </c>
      <c r="O14" s="10">
        <v>2</v>
      </c>
      <c r="P14" s="10">
        <v>-2.65</v>
      </c>
      <c r="Q14" s="10">
        <v>-3.45</v>
      </c>
      <c r="R14" s="10">
        <v>3</v>
      </c>
      <c r="S14" s="10">
        <v>-3.45</v>
      </c>
      <c r="T14" s="10"/>
      <c r="U14" s="10"/>
      <c r="V14" s="11"/>
      <c r="W14" s="11"/>
      <c r="X14" s="11"/>
      <c r="Y14" s="11"/>
      <c r="Z14" s="11"/>
      <c r="AA14" s="11" t="str" cm="1">
        <f t="array" ref="AA14">IFERROR(INDEX(B:B,MATCH(B14,Z:Z,0)),"")</f>
        <v/>
      </c>
    </row>
  </sheetData>
  <mergeCells count="10">
    <mergeCell ref="D2:E2"/>
    <mergeCell ref="F2:G2"/>
    <mergeCell ref="H2:I2"/>
    <mergeCell ref="K2:L2"/>
    <mergeCell ref="P2:Y2"/>
    <mergeCell ref="D1:E1"/>
    <mergeCell ref="F1:G1"/>
    <mergeCell ref="H1:I1"/>
    <mergeCell ref="K1:L1"/>
    <mergeCell ref="P1:Y1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地图配置表</vt:lpstr>
      <vt:lpstr>路径点配置表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^_^ Amani</cp:lastModifiedBy>
  <dcterms:created xsi:type="dcterms:W3CDTF">2006-09-16T00:00:00Z</dcterms:created>
  <dcterms:modified xsi:type="dcterms:W3CDTF">2026-04-06T11:07:08Z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E39D7115BB1A44E38B6AD66791C1E1C2_13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